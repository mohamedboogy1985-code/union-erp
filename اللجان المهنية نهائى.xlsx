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46656698-5D0F-4D4A-A3A1-A96B3DC4117A}" xr6:coauthVersionLast="47" xr6:coauthVersionMax="47" xr10:uidLastSave="{00000000-0000-0000-0000-000000000000}"/>
  <bookViews>
    <workbookView xWindow="-120" yWindow="-120" windowWidth="20730" windowHeight="11160" activeTab="1" xr2:uid="{E04E8351-9E83-4A66-8FAF-97532393381A}"/>
  </bookViews>
  <sheets>
    <sheet name="ورقة1" sheetId="1" r:id="rId1"/>
    <sheet name="ProfessionalCommitte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" i="2" l="1"/>
  <c r="L4" i="2"/>
  <c r="K4" i="2"/>
  <c r="I4" i="2"/>
  <c r="F4" i="2"/>
  <c r="E4" i="2"/>
  <c r="E30" i="2" s="1"/>
  <c r="C30" i="2"/>
  <c r="G29" i="2"/>
  <c r="F29" i="2" s="1"/>
  <c r="M29" i="2" s="1"/>
  <c r="G28" i="2"/>
  <c r="F28" i="2" s="1"/>
  <c r="M28" i="2" s="1"/>
  <c r="F27" i="2"/>
  <c r="M27" i="2" s="1"/>
  <c r="G27" i="2"/>
  <c r="G26" i="2"/>
  <c r="F26" i="2" s="1"/>
  <c r="M26" i="2" s="1"/>
  <c r="G25" i="2"/>
  <c r="F25" i="2" s="1"/>
  <c r="M25" i="2" s="1"/>
  <c r="G24" i="2"/>
  <c r="F24" i="2" s="1"/>
  <c r="M24" i="2" s="1"/>
  <c r="G23" i="2"/>
  <c r="F23" i="2" s="1"/>
  <c r="M23" i="2" s="1"/>
  <c r="G22" i="2"/>
  <c r="F22" i="2" s="1"/>
  <c r="M22" i="2" s="1"/>
  <c r="G21" i="2"/>
  <c r="F21" i="2" s="1"/>
  <c r="M21" i="2" s="1"/>
  <c r="G20" i="2"/>
  <c r="F20" i="2" s="1"/>
  <c r="M20" i="2" s="1"/>
  <c r="G19" i="2"/>
  <c r="F19" i="2" s="1"/>
  <c r="M19" i="2" s="1"/>
  <c r="G18" i="2"/>
  <c r="F18" i="2" s="1"/>
  <c r="M18" i="2" s="1"/>
  <c r="G17" i="2"/>
  <c r="F17" i="2" s="1"/>
  <c r="M17" i="2" s="1"/>
  <c r="G16" i="2"/>
  <c r="F16" i="2" s="1"/>
  <c r="M16" i="2" s="1"/>
  <c r="G15" i="2"/>
  <c r="F15" i="2" s="1"/>
  <c r="M15" i="2" s="1"/>
  <c r="G14" i="2"/>
  <c r="F14" i="2" s="1"/>
  <c r="M14" i="2" s="1"/>
  <c r="G13" i="2"/>
  <c r="F13" i="2" s="1"/>
  <c r="M13" i="2" s="1"/>
  <c r="G12" i="2"/>
  <c r="F12" i="2" s="1"/>
  <c r="M12" i="2" s="1"/>
  <c r="F11" i="2"/>
  <c r="M11" i="2" s="1"/>
  <c r="G11" i="2"/>
  <c r="G10" i="2"/>
  <c r="F10" i="2" s="1"/>
  <c r="M10" i="2" s="1"/>
  <c r="G9" i="2"/>
  <c r="F9" i="2" s="1"/>
  <c r="M9" i="2" s="1"/>
  <c r="G8" i="2"/>
  <c r="F8" i="2" s="1"/>
  <c r="M8" i="2" s="1"/>
  <c r="G7" i="2"/>
  <c r="F7" i="2" s="1"/>
  <c r="M7" i="2" s="1"/>
  <c r="G6" i="2"/>
  <c r="F6" i="2" s="1"/>
  <c r="M6" i="2" s="1"/>
  <c r="G5" i="2"/>
  <c r="F5" i="2" s="1"/>
  <c r="M5" i="2" s="1"/>
  <c r="G4" i="2" l="1"/>
  <c r="I30" i="2"/>
  <c r="F30" i="2"/>
  <c r="G30" i="2" l="1"/>
  <c r="H4" i="2"/>
  <c r="L30" i="2"/>
  <c r="J4" i="2"/>
  <c r="J30" i="2" s="1"/>
  <c r="M30" i="2" l="1"/>
  <c r="H30" i="2"/>
  <c r="E31" i="2"/>
</calcChain>
</file>

<file path=xl/sharedStrings.xml><?xml version="1.0" encoding="utf-8"?>
<sst xmlns="http://schemas.openxmlformats.org/spreadsheetml/2006/main" count="43" uniqueCount="42">
  <si>
    <t>عن الفترة من 1 / 1 / 2022  حتى  31 / 3 / 2022</t>
  </si>
  <si>
    <t>م</t>
  </si>
  <si>
    <t>البيان</t>
  </si>
  <si>
    <t>الاجمالى</t>
  </si>
  <si>
    <t>اللجنة المهنية- شبين الكوم</t>
  </si>
  <si>
    <t>اللجنة المهنية بالمحلة الكبرى</t>
  </si>
  <si>
    <t>اللجنة المهنية بدمنهور</t>
  </si>
  <si>
    <t>اللجنة المهنية- بالاسكندرية</t>
  </si>
  <si>
    <t>اللجنة المهنية ببلقاس</t>
  </si>
  <si>
    <t>اللجنة المهنية- بميت غمر</t>
  </si>
  <si>
    <t>اللجنة المهنية بأجا</t>
  </si>
  <si>
    <t>اللجنة المهنية بدمياط</t>
  </si>
  <si>
    <t>اللجنة المهنية- بكفر سعد</t>
  </si>
  <si>
    <t>اللجنة المهنية بفارسكور</t>
  </si>
  <si>
    <t>اللجنة المهنية ببلبيس</t>
  </si>
  <si>
    <t>اللجنة المهنية- بالفيوم</t>
  </si>
  <si>
    <t>اللجنة المهنية- جرجا</t>
  </si>
  <si>
    <t>اللجنة المهنية بالأقصر</t>
  </si>
  <si>
    <t>اللجنة المهنية بسيدى سالم</t>
  </si>
  <si>
    <t>اللجنة المهنية- فوة</t>
  </si>
  <si>
    <t>اللجنة المهنية- بالزقازيق</t>
  </si>
  <si>
    <t>اللجنة المهنية- بسوهاج</t>
  </si>
  <si>
    <t>اللجنة المهنية مينا القمح</t>
  </si>
  <si>
    <t>اللجنة المهنية بقلاوس</t>
  </si>
  <si>
    <t>اللجنة المهنية بأبو كبير</t>
  </si>
  <si>
    <t>اللجنة المهنية ببنها</t>
  </si>
  <si>
    <t>اللجنة المهنية- ههيا</t>
  </si>
  <si>
    <t>اللجنة المهنية بالمحمودية</t>
  </si>
  <si>
    <t>اللجنة المهنية- بالقاهرة الكبرى</t>
  </si>
  <si>
    <t>الاشتراكات</t>
  </si>
  <si>
    <t>دعم التثقيف</t>
  </si>
  <si>
    <t>الاجمالى بالتفقيط</t>
  </si>
  <si>
    <t>اللجنة المهنية بنى عبيد</t>
  </si>
  <si>
    <t>اجمالى مبلغ التحصيل</t>
  </si>
  <si>
    <t>حصة اللجنة</t>
  </si>
  <si>
    <t>نموذج تحصيل ايرادات اللجان النقابية المهنية
طبقاً لنسب التوزيع المعتمدة بالائحة المالية</t>
  </si>
  <si>
    <t>حصة النقابة العامة 
30% من الاشتراكات</t>
  </si>
  <si>
    <t xml:space="preserve">دعم التثقيف كامل
مستحق للنقابة العامة </t>
  </si>
  <si>
    <t>مطبوعات
10% من الاشتراكات</t>
  </si>
  <si>
    <t>حصة الاتحاد العام
10% من الاشتراكات</t>
  </si>
  <si>
    <t>عدد الايصالات
 المستلمة</t>
  </si>
  <si>
    <t>فئة 
التحصيل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</si>
</sst>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b/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20953-7644-440B-8E23-93AF84F32147}">
  <sheetPr codeName="ورقة1"/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D82B-96B0-45BC-9311-8656F766521D}">
  <sheetPr codeName="ورقة2"/>
  <dimension ref="A1:M31"/>
  <sheetViews>
    <sheetView rightToLeft="1" tabSelected="1" view="pageBreakPreview" zoomScale="60" zoomScaleNormal="100" workbookViewId="0">
      <selection activeCell="J9" sqref="J9"/>
    </sheetView>
  </sheetViews>
  <sheetFormatPr defaultRowHeight="14.25" x14ac:dyDescent="0.2"/>
  <cols>
    <col min="1" max="1" width="2.875" bestFit="1" customWidth="1"/>
    <col min="2" max="2" width="35.625" customWidth="1"/>
    <col min="3" max="7" width="16.625" customWidth="1"/>
    <col min="8" max="8" width="23.375" customWidth="1"/>
    <col min="9" max="13" width="16.625" customWidth="1"/>
  </cols>
  <sheetData>
    <row r="1" spans="1:13" ht="45.75" customHeight="1" x14ac:dyDescent="0.3">
      <c r="A1" s="14" t="s">
        <v>35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5.75" x14ac:dyDescent="0.25">
      <c r="A2" s="10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37.5" customHeight="1" x14ac:dyDescent="0.2">
      <c r="A3" s="6" t="s">
        <v>1</v>
      </c>
      <c r="B3" s="6" t="s">
        <v>2</v>
      </c>
      <c r="C3" s="6" t="s">
        <v>40</v>
      </c>
      <c r="D3" s="6" t="s">
        <v>41</v>
      </c>
      <c r="E3" s="6" t="s">
        <v>33</v>
      </c>
      <c r="F3" s="6" t="s">
        <v>30</v>
      </c>
      <c r="G3" s="6" t="s">
        <v>29</v>
      </c>
      <c r="H3" s="6" t="s">
        <v>36</v>
      </c>
      <c r="I3" s="6" t="s">
        <v>37</v>
      </c>
      <c r="J3" s="6" t="s">
        <v>38</v>
      </c>
      <c r="K3" s="6" t="s">
        <v>39</v>
      </c>
      <c r="L3" s="6" t="s">
        <v>34</v>
      </c>
      <c r="M3" s="6" t="s">
        <v>3</v>
      </c>
    </row>
    <row r="4" spans="1:13" ht="27.95" customHeight="1" x14ac:dyDescent="0.2">
      <c r="A4" s="1">
        <v>1</v>
      </c>
      <c r="B4" s="1" t="s">
        <v>4</v>
      </c>
      <c r="C4" s="7">
        <v>1000</v>
      </c>
      <c r="D4" s="7">
        <v>40</v>
      </c>
      <c r="E4" s="4">
        <f>C4*D4</f>
        <v>40000</v>
      </c>
      <c r="F4" s="4">
        <f>C4*5</f>
        <v>5000</v>
      </c>
      <c r="G4" s="4">
        <f>E4-F4</f>
        <v>35000</v>
      </c>
      <c r="H4" s="4">
        <f>G4*30%</f>
        <v>10500</v>
      </c>
      <c r="I4" s="4">
        <f>F4</f>
        <v>5000</v>
      </c>
      <c r="J4" s="4">
        <f>G4*10%</f>
        <v>3500</v>
      </c>
      <c r="K4" s="4">
        <f>G4*10%</f>
        <v>3500</v>
      </c>
      <c r="L4" s="4">
        <f>G4*50%</f>
        <v>17500</v>
      </c>
      <c r="M4" s="4">
        <f>H4+I4+J4+L4+K4</f>
        <v>40000</v>
      </c>
    </row>
    <row r="5" spans="1:13" ht="27.95" customHeight="1" x14ac:dyDescent="0.2">
      <c r="A5" s="1">
        <v>2</v>
      </c>
      <c r="B5" s="1" t="s">
        <v>5</v>
      </c>
      <c r="C5" s="7">
        <v>0</v>
      </c>
      <c r="D5" s="7"/>
      <c r="E5" s="4">
        <v>0</v>
      </c>
      <c r="F5" s="4">
        <f t="shared" ref="F5:F29" si="0">E5-G5</f>
        <v>0</v>
      </c>
      <c r="G5" s="4">
        <f t="shared" ref="G5:G29" si="1">C5*5</f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f t="shared" ref="M5:M29" si="2">SUM(E5:L5)</f>
        <v>0</v>
      </c>
    </row>
    <row r="6" spans="1:13" ht="27.95" customHeight="1" x14ac:dyDescent="0.2">
      <c r="A6" s="1">
        <v>3</v>
      </c>
      <c r="B6" s="1" t="s">
        <v>6</v>
      </c>
      <c r="C6" s="7">
        <v>0</v>
      </c>
      <c r="D6" s="7"/>
      <c r="E6" s="4">
        <v>0</v>
      </c>
      <c r="F6" s="4">
        <f t="shared" si="0"/>
        <v>0</v>
      </c>
      <c r="G6" s="4">
        <f t="shared" si="1"/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f t="shared" si="2"/>
        <v>0</v>
      </c>
    </row>
    <row r="7" spans="1:13" ht="27.95" customHeight="1" x14ac:dyDescent="0.2">
      <c r="A7" s="1">
        <v>4</v>
      </c>
      <c r="B7" s="1" t="s">
        <v>7</v>
      </c>
      <c r="C7" s="7">
        <v>0</v>
      </c>
      <c r="D7" s="7"/>
      <c r="E7" s="4">
        <v>0</v>
      </c>
      <c r="F7" s="4">
        <f t="shared" si="0"/>
        <v>0</v>
      </c>
      <c r="G7" s="4">
        <f t="shared" si="1"/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f t="shared" si="2"/>
        <v>0</v>
      </c>
    </row>
    <row r="8" spans="1:13" ht="27.95" customHeight="1" x14ac:dyDescent="0.2">
      <c r="A8" s="1">
        <v>5</v>
      </c>
      <c r="B8" s="1" t="s">
        <v>32</v>
      </c>
      <c r="C8" s="7">
        <v>0</v>
      </c>
      <c r="D8" s="7"/>
      <c r="E8" s="4">
        <v>0</v>
      </c>
      <c r="F8" s="4">
        <f t="shared" si="0"/>
        <v>0</v>
      </c>
      <c r="G8" s="4">
        <f t="shared" si="1"/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f t="shared" si="2"/>
        <v>0</v>
      </c>
    </row>
    <row r="9" spans="1:13" ht="27.95" customHeight="1" x14ac:dyDescent="0.2">
      <c r="A9" s="1">
        <v>6</v>
      </c>
      <c r="B9" s="1" t="s">
        <v>8</v>
      </c>
      <c r="C9" s="7">
        <v>0</v>
      </c>
      <c r="D9" s="7"/>
      <c r="E9" s="4">
        <v>0</v>
      </c>
      <c r="F9" s="4">
        <f t="shared" si="0"/>
        <v>0</v>
      </c>
      <c r="G9" s="4">
        <f t="shared" si="1"/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f t="shared" si="2"/>
        <v>0</v>
      </c>
    </row>
    <row r="10" spans="1:13" ht="27.95" customHeight="1" x14ac:dyDescent="0.2">
      <c r="A10" s="1">
        <v>7</v>
      </c>
      <c r="B10" s="1" t="s">
        <v>9</v>
      </c>
      <c r="C10" s="7">
        <v>0</v>
      </c>
      <c r="D10" s="7"/>
      <c r="E10" s="4">
        <v>0</v>
      </c>
      <c r="F10" s="4">
        <f t="shared" si="0"/>
        <v>0</v>
      </c>
      <c r="G10" s="4">
        <f t="shared" si="1"/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f t="shared" si="2"/>
        <v>0</v>
      </c>
    </row>
    <row r="11" spans="1:13" ht="27.95" customHeight="1" x14ac:dyDescent="0.2">
      <c r="A11" s="1">
        <v>8</v>
      </c>
      <c r="B11" s="1" t="s">
        <v>10</v>
      </c>
      <c r="C11" s="7">
        <v>0</v>
      </c>
      <c r="D11" s="7"/>
      <c r="E11" s="4">
        <v>0</v>
      </c>
      <c r="F11" s="4">
        <f t="shared" si="0"/>
        <v>0</v>
      </c>
      <c r="G11" s="4">
        <f t="shared" si="1"/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f t="shared" si="2"/>
        <v>0</v>
      </c>
    </row>
    <row r="12" spans="1:13" ht="27.95" customHeight="1" x14ac:dyDescent="0.2">
      <c r="A12" s="1">
        <v>9</v>
      </c>
      <c r="B12" s="1" t="s">
        <v>11</v>
      </c>
      <c r="C12" s="7">
        <v>0</v>
      </c>
      <c r="D12" s="7"/>
      <c r="E12" s="4">
        <v>0</v>
      </c>
      <c r="F12" s="4">
        <f t="shared" si="0"/>
        <v>0</v>
      </c>
      <c r="G12" s="4">
        <f t="shared" si="1"/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f t="shared" si="2"/>
        <v>0</v>
      </c>
    </row>
    <row r="13" spans="1:13" ht="27.95" customHeight="1" x14ac:dyDescent="0.2">
      <c r="A13" s="1">
        <v>10</v>
      </c>
      <c r="B13" s="1" t="s">
        <v>12</v>
      </c>
      <c r="C13" s="7">
        <v>0</v>
      </c>
      <c r="D13" s="7"/>
      <c r="E13" s="4">
        <v>0</v>
      </c>
      <c r="F13" s="4">
        <f t="shared" si="0"/>
        <v>0</v>
      </c>
      <c r="G13" s="4">
        <f t="shared" si="1"/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f t="shared" si="2"/>
        <v>0</v>
      </c>
    </row>
    <row r="14" spans="1:13" ht="27.95" customHeight="1" x14ac:dyDescent="0.2">
      <c r="A14" s="1">
        <v>11</v>
      </c>
      <c r="B14" s="1" t="s">
        <v>13</v>
      </c>
      <c r="C14" s="7">
        <v>0</v>
      </c>
      <c r="D14" s="7"/>
      <c r="E14" s="4">
        <v>0</v>
      </c>
      <c r="F14" s="4">
        <f t="shared" si="0"/>
        <v>0</v>
      </c>
      <c r="G14" s="4">
        <f t="shared" si="1"/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f t="shared" si="2"/>
        <v>0</v>
      </c>
    </row>
    <row r="15" spans="1:13" ht="27.95" customHeight="1" x14ac:dyDescent="0.2">
      <c r="A15" s="1">
        <v>12</v>
      </c>
      <c r="B15" s="1" t="s">
        <v>14</v>
      </c>
      <c r="C15" s="7">
        <v>0</v>
      </c>
      <c r="D15" s="7"/>
      <c r="E15" s="4">
        <v>0</v>
      </c>
      <c r="F15" s="4">
        <f t="shared" si="0"/>
        <v>0</v>
      </c>
      <c r="G15" s="4">
        <f t="shared" si="1"/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f t="shared" si="2"/>
        <v>0</v>
      </c>
    </row>
    <row r="16" spans="1:13" ht="27.95" customHeight="1" x14ac:dyDescent="0.2">
      <c r="A16" s="1">
        <v>13</v>
      </c>
      <c r="B16" s="1" t="s">
        <v>15</v>
      </c>
      <c r="C16" s="7">
        <v>0</v>
      </c>
      <c r="D16" s="7"/>
      <c r="E16" s="4">
        <v>0</v>
      </c>
      <c r="F16" s="4">
        <f t="shared" si="0"/>
        <v>0</v>
      </c>
      <c r="G16" s="4">
        <f t="shared" si="1"/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f t="shared" si="2"/>
        <v>0</v>
      </c>
    </row>
    <row r="17" spans="1:13" ht="27.95" customHeight="1" x14ac:dyDescent="0.2">
      <c r="A17" s="1">
        <v>14</v>
      </c>
      <c r="B17" s="1" t="s">
        <v>16</v>
      </c>
      <c r="C17" s="7">
        <v>0</v>
      </c>
      <c r="D17" s="7"/>
      <c r="E17" s="4">
        <v>0</v>
      </c>
      <c r="F17" s="4">
        <f t="shared" si="0"/>
        <v>0</v>
      </c>
      <c r="G17" s="4">
        <f t="shared" si="1"/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f t="shared" si="2"/>
        <v>0</v>
      </c>
    </row>
    <row r="18" spans="1:13" ht="27.95" customHeight="1" x14ac:dyDescent="0.2">
      <c r="A18" s="1">
        <v>15</v>
      </c>
      <c r="B18" s="1" t="s">
        <v>17</v>
      </c>
      <c r="C18" s="7">
        <v>0</v>
      </c>
      <c r="D18" s="7"/>
      <c r="E18" s="4">
        <v>0</v>
      </c>
      <c r="F18" s="4">
        <f t="shared" si="0"/>
        <v>0</v>
      </c>
      <c r="G18" s="4">
        <f t="shared" si="1"/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f t="shared" si="2"/>
        <v>0</v>
      </c>
    </row>
    <row r="19" spans="1:13" ht="27.95" customHeight="1" x14ac:dyDescent="0.2">
      <c r="A19" s="1">
        <v>16</v>
      </c>
      <c r="B19" s="1" t="s">
        <v>18</v>
      </c>
      <c r="C19" s="7">
        <v>0</v>
      </c>
      <c r="D19" s="7"/>
      <c r="E19" s="4">
        <v>0</v>
      </c>
      <c r="F19" s="4">
        <f t="shared" si="0"/>
        <v>0</v>
      </c>
      <c r="G19" s="4">
        <f t="shared" si="1"/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f t="shared" si="2"/>
        <v>0</v>
      </c>
    </row>
    <row r="20" spans="1:13" ht="27.95" customHeight="1" x14ac:dyDescent="0.2">
      <c r="A20" s="1">
        <v>17</v>
      </c>
      <c r="B20" s="1" t="s">
        <v>19</v>
      </c>
      <c r="C20" s="7">
        <v>0</v>
      </c>
      <c r="D20" s="7"/>
      <c r="E20" s="4">
        <v>0</v>
      </c>
      <c r="F20" s="4">
        <f t="shared" si="0"/>
        <v>0</v>
      </c>
      <c r="G20" s="4">
        <f t="shared" si="1"/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f t="shared" si="2"/>
        <v>0</v>
      </c>
    </row>
    <row r="21" spans="1:13" ht="27.95" customHeight="1" x14ac:dyDescent="0.2">
      <c r="A21" s="1">
        <v>18</v>
      </c>
      <c r="B21" s="1" t="s">
        <v>20</v>
      </c>
      <c r="C21" s="7">
        <v>0</v>
      </c>
      <c r="D21" s="7"/>
      <c r="E21" s="4">
        <v>0</v>
      </c>
      <c r="F21" s="4">
        <f t="shared" si="0"/>
        <v>0</v>
      </c>
      <c r="G21" s="4">
        <f t="shared" si="1"/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f t="shared" si="2"/>
        <v>0</v>
      </c>
    </row>
    <row r="22" spans="1:13" ht="27.95" customHeight="1" x14ac:dyDescent="0.2">
      <c r="A22" s="1">
        <v>19</v>
      </c>
      <c r="B22" s="1" t="s">
        <v>21</v>
      </c>
      <c r="C22" s="7">
        <v>0</v>
      </c>
      <c r="D22" s="7"/>
      <c r="E22" s="4">
        <v>0</v>
      </c>
      <c r="F22" s="4">
        <f t="shared" si="0"/>
        <v>0</v>
      </c>
      <c r="G22" s="4">
        <f t="shared" si="1"/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f t="shared" si="2"/>
        <v>0</v>
      </c>
    </row>
    <row r="23" spans="1:13" ht="27.95" customHeight="1" x14ac:dyDescent="0.2">
      <c r="A23" s="1">
        <v>20</v>
      </c>
      <c r="B23" s="1" t="s">
        <v>22</v>
      </c>
      <c r="C23" s="7">
        <v>0</v>
      </c>
      <c r="D23" s="7"/>
      <c r="E23" s="4">
        <v>0</v>
      </c>
      <c r="F23" s="4">
        <f t="shared" si="0"/>
        <v>0</v>
      </c>
      <c r="G23" s="4">
        <f t="shared" si="1"/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f t="shared" si="2"/>
        <v>0</v>
      </c>
    </row>
    <row r="24" spans="1:13" ht="27.95" customHeight="1" x14ac:dyDescent="0.2">
      <c r="A24" s="1">
        <v>21</v>
      </c>
      <c r="B24" s="1" t="s">
        <v>23</v>
      </c>
      <c r="C24" s="7">
        <v>0</v>
      </c>
      <c r="D24" s="7"/>
      <c r="E24" s="4">
        <v>0</v>
      </c>
      <c r="F24" s="4">
        <f t="shared" si="0"/>
        <v>0</v>
      </c>
      <c r="G24" s="4">
        <f t="shared" si="1"/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f t="shared" si="2"/>
        <v>0</v>
      </c>
    </row>
    <row r="25" spans="1:13" ht="27.95" customHeight="1" x14ac:dyDescent="0.2">
      <c r="A25" s="1">
        <v>22</v>
      </c>
      <c r="B25" s="1" t="s">
        <v>24</v>
      </c>
      <c r="C25" s="7">
        <v>0</v>
      </c>
      <c r="D25" s="7"/>
      <c r="E25" s="4">
        <v>0</v>
      </c>
      <c r="F25" s="4">
        <f t="shared" si="0"/>
        <v>0</v>
      </c>
      <c r="G25" s="4">
        <f t="shared" si="1"/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f t="shared" si="2"/>
        <v>0</v>
      </c>
    </row>
    <row r="26" spans="1:13" ht="27.95" customHeight="1" x14ac:dyDescent="0.2">
      <c r="A26" s="1">
        <v>23</v>
      </c>
      <c r="B26" s="1" t="s">
        <v>25</v>
      </c>
      <c r="C26" s="7">
        <v>0</v>
      </c>
      <c r="D26" s="7"/>
      <c r="E26" s="4">
        <v>0</v>
      </c>
      <c r="F26" s="4">
        <f t="shared" si="0"/>
        <v>0</v>
      </c>
      <c r="G26" s="4">
        <f t="shared" si="1"/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f t="shared" si="2"/>
        <v>0</v>
      </c>
    </row>
    <row r="27" spans="1:13" ht="27.95" customHeight="1" x14ac:dyDescent="0.2">
      <c r="A27" s="1">
        <v>24</v>
      </c>
      <c r="B27" s="1" t="s">
        <v>26</v>
      </c>
      <c r="C27" s="7">
        <v>0</v>
      </c>
      <c r="D27" s="7"/>
      <c r="E27" s="4">
        <v>0</v>
      </c>
      <c r="F27" s="4">
        <f t="shared" si="0"/>
        <v>0</v>
      </c>
      <c r="G27" s="4">
        <f t="shared" si="1"/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f t="shared" si="2"/>
        <v>0</v>
      </c>
    </row>
    <row r="28" spans="1:13" ht="27.95" customHeight="1" x14ac:dyDescent="0.2">
      <c r="A28" s="1">
        <v>25</v>
      </c>
      <c r="B28" s="1" t="s">
        <v>27</v>
      </c>
      <c r="C28" s="7">
        <v>0</v>
      </c>
      <c r="D28" s="7"/>
      <c r="E28" s="4">
        <v>0</v>
      </c>
      <c r="F28" s="4">
        <f t="shared" si="0"/>
        <v>0</v>
      </c>
      <c r="G28" s="4">
        <f t="shared" si="1"/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f t="shared" si="2"/>
        <v>0</v>
      </c>
    </row>
    <row r="29" spans="1:13" ht="27.95" customHeight="1" x14ac:dyDescent="0.2">
      <c r="A29" s="1">
        <v>26</v>
      </c>
      <c r="B29" s="1" t="s">
        <v>28</v>
      </c>
      <c r="C29" s="7">
        <v>0</v>
      </c>
      <c r="D29" s="7"/>
      <c r="E29" s="4">
        <v>0</v>
      </c>
      <c r="F29" s="4">
        <f t="shared" si="0"/>
        <v>0</v>
      </c>
      <c r="G29" s="4">
        <f t="shared" si="1"/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f t="shared" si="2"/>
        <v>0</v>
      </c>
    </row>
    <row r="30" spans="1:13" ht="27.95" customHeight="1" x14ac:dyDescent="0.2">
      <c r="A30" s="1"/>
      <c r="B30" s="2" t="s">
        <v>3</v>
      </c>
      <c r="C30" s="8">
        <f t="shared" ref="C30:M30" si="3">SUM(C4:C29)</f>
        <v>1000</v>
      </c>
      <c r="D30" s="8"/>
      <c r="E30" s="5">
        <f t="shared" si="3"/>
        <v>40000</v>
      </c>
      <c r="F30" s="5">
        <f t="shared" si="3"/>
        <v>5000</v>
      </c>
      <c r="G30" s="5">
        <f t="shared" si="3"/>
        <v>35000</v>
      </c>
      <c r="H30" s="5">
        <f t="shared" si="3"/>
        <v>10500</v>
      </c>
      <c r="I30" s="5">
        <f t="shared" si="3"/>
        <v>5000</v>
      </c>
      <c r="J30" s="5">
        <f t="shared" si="3"/>
        <v>3500</v>
      </c>
      <c r="K30" s="5"/>
      <c r="L30" s="5">
        <f t="shared" si="3"/>
        <v>17500</v>
      </c>
      <c r="M30" s="5">
        <f t="shared" si="3"/>
        <v>40000</v>
      </c>
    </row>
    <row r="31" spans="1:13" ht="27.95" customHeight="1" x14ac:dyDescent="0.2">
      <c r="A31" s="11" t="s">
        <v>31</v>
      </c>
      <c r="B31" s="12"/>
      <c r="C31" s="12"/>
      <c r="D31" s="3"/>
      <c r="E31" s="13" t="str">
        <f>Tafqeet(M30)</f>
        <v>فقط 40 ألفاً جنيهاً لا غير.</v>
      </c>
      <c r="F31" s="12"/>
      <c r="G31" s="12"/>
      <c r="H31" s="12"/>
      <c r="I31" s="12"/>
      <c r="J31" s="12"/>
      <c r="K31" s="12"/>
      <c r="L31" s="12"/>
      <c r="M31" s="12"/>
    </row>
  </sheetData>
  <mergeCells count="4">
    <mergeCell ref="A1:M1"/>
    <mergeCell ref="A2:M2"/>
    <mergeCell ref="A31:C31"/>
    <mergeCell ref="E31:M31"/>
  </mergeCells>
  <pageMargins left="0.7" right="0.7" top="0.75" bottom="0.75" header="0.3" footer="0.3"/>
  <pageSetup scale="4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ورقة1</vt:lpstr>
      <vt:lpstr>ProfessionalCommittees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Bogy</dc:creator>
  <cp:lastModifiedBy>Bogy</cp:lastModifiedBy>
  <dcterms:created xsi:type="dcterms:W3CDTF">2026-08-01T17:42:49Z</dcterms:created>
  <dcterms:modified xsi:type="dcterms:W3CDTF">2026-09-12T17:11:24Z</dcterms:modified>
</cp:coreProperties>
</file>